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gHunter\Desktop\Hydro Static Project\Excels\"/>
    </mc:Choice>
  </mc:AlternateContent>
  <xr:revisionPtr revIDLastSave="0" documentId="13_ncr:1_{24AB2C7F-21ED-4B1E-A630-6F2C33BCC6F5}" xr6:coauthVersionLast="47" xr6:coauthVersionMax="47" xr10:uidLastSave="{00000000-0000-0000-0000-000000000000}"/>
  <bookViews>
    <workbookView xWindow="-108" yWindow="-108" windowWidth="23256" windowHeight="12456" xr2:uid="{FBA52395-15A9-4CF0-9184-1EC2B9A29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1" l="1"/>
  <c r="J7" i="1"/>
  <c r="J6" i="1"/>
  <c r="J5" i="1"/>
  <c r="J4" i="1"/>
  <c r="J3" i="1"/>
  <c r="J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Bonjean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Sheet1!$K$2:$K$8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100.03400000000001</c:v>
                </c:pt>
                <c:pt idx="6">
                  <c:v>100</c:v>
                </c:pt>
              </c:numCache>
            </c:numRef>
          </c:xVal>
          <c:yVal>
            <c:numRef>
              <c:f>Sheet1!$J$2:$J$8</c:f>
              <c:numCache>
                <c:formatCode>General</c:formatCode>
                <c:ptCount val="7"/>
                <c:pt idx="0">
                  <c:v>0.371</c:v>
                </c:pt>
                <c:pt idx="1">
                  <c:v>0.74199999999999999</c:v>
                </c:pt>
                <c:pt idx="2">
                  <c:v>1.113</c:v>
                </c:pt>
                <c:pt idx="3">
                  <c:v>1.484</c:v>
                </c:pt>
                <c:pt idx="4">
                  <c:v>1.855</c:v>
                </c:pt>
                <c:pt idx="5">
                  <c:v>2.226</c:v>
                </c:pt>
                <c:pt idx="6">
                  <c:v>2.597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40-4C62-9AC6-C2203A417C2C}"/>
            </c:ext>
          </c:extLst>
        </c:ser>
        <c:ser>
          <c:idx val="1"/>
          <c:order val="1"/>
          <c:tx>
            <c:strRef>
              <c:f>Sheet1!$L$1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Sheet1!$L$2:$L$8</c:f>
              <c:numCache>
                <c:formatCode>General</c:formatCode>
                <c:ptCount val="7"/>
                <c:pt idx="0">
                  <c:v>200.119</c:v>
                </c:pt>
                <c:pt idx="1">
                  <c:v>201.05600000000001</c:v>
                </c:pt>
                <c:pt idx="2">
                  <c:v>202.37700000000001</c:v>
                </c:pt>
                <c:pt idx="3">
                  <c:v>203.71199999999999</c:v>
                </c:pt>
                <c:pt idx="4">
                  <c:v>205.017</c:v>
                </c:pt>
                <c:pt idx="5">
                  <c:v>206.572</c:v>
                </c:pt>
                <c:pt idx="6">
                  <c:v>208.34200000000001</c:v>
                </c:pt>
              </c:numCache>
            </c:numRef>
          </c:xVal>
          <c:yVal>
            <c:numRef>
              <c:f>Sheet1!$J$2:$J$8</c:f>
              <c:numCache>
                <c:formatCode>General</c:formatCode>
                <c:ptCount val="7"/>
                <c:pt idx="0">
                  <c:v>0.371</c:v>
                </c:pt>
                <c:pt idx="1">
                  <c:v>0.74199999999999999</c:v>
                </c:pt>
                <c:pt idx="2">
                  <c:v>1.113</c:v>
                </c:pt>
                <c:pt idx="3">
                  <c:v>1.484</c:v>
                </c:pt>
                <c:pt idx="4">
                  <c:v>1.855</c:v>
                </c:pt>
                <c:pt idx="5">
                  <c:v>2.226</c:v>
                </c:pt>
                <c:pt idx="6">
                  <c:v>2.597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40-4C62-9AC6-C2203A417C2C}"/>
            </c:ext>
          </c:extLst>
        </c:ser>
        <c:ser>
          <c:idx val="2"/>
          <c:order val="2"/>
          <c:tx>
            <c:strRef>
              <c:f>Sheet1!$M$1</c:f>
              <c:strCache>
                <c:ptCount val="1"/>
                <c:pt idx="0">
                  <c:v>11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Sheet1!$M$2:$M$8</c:f>
              <c:numCache>
                <c:formatCode>General</c:formatCode>
                <c:ptCount val="7"/>
                <c:pt idx="0">
                  <c:v>300.60500000000002</c:v>
                </c:pt>
                <c:pt idx="1">
                  <c:v>302.44600000000003</c:v>
                </c:pt>
                <c:pt idx="2">
                  <c:v>305.14</c:v>
                </c:pt>
                <c:pt idx="3">
                  <c:v>307.93</c:v>
                </c:pt>
                <c:pt idx="4">
                  <c:v>310.72800000000001</c:v>
                </c:pt>
                <c:pt idx="5">
                  <c:v>313.74400000000003</c:v>
                </c:pt>
                <c:pt idx="6">
                  <c:v>316.86200000000002</c:v>
                </c:pt>
              </c:numCache>
            </c:numRef>
          </c:xVal>
          <c:yVal>
            <c:numRef>
              <c:f>Sheet1!$J$2:$J$8</c:f>
              <c:numCache>
                <c:formatCode>General</c:formatCode>
                <c:ptCount val="7"/>
                <c:pt idx="0">
                  <c:v>0.371</c:v>
                </c:pt>
                <c:pt idx="1">
                  <c:v>0.74199999999999999</c:v>
                </c:pt>
                <c:pt idx="2">
                  <c:v>1.113</c:v>
                </c:pt>
                <c:pt idx="3">
                  <c:v>1.484</c:v>
                </c:pt>
                <c:pt idx="4">
                  <c:v>1.855</c:v>
                </c:pt>
                <c:pt idx="5">
                  <c:v>2.226</c:v>
                </c:pt>
                <c:pt idx="6">
                  <c:v>2.597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40-4C62-9AC6-C2203A417C2C}"/>
            </c:ext>
          </c:extLst>
        </c:ser>
        <c:ser>
          <c:idx val="3"/>
          <c:order val="3"/>
          <c:tx>
            <c:strRef>
              <c:f>Sheet1!$N$1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Sheet1!$N$2:$N$8</c:f>
              <c:numCache>
                <c:formatCode>General</c:formatCode>
                <c:ptCount val="7"/>
                <c:pt idx="0">
                  <c:v>401.32499999999999</c:v>
                </c:pt>
                <c:pt idx="1">
                  <c:v>404.16199999999998</c:v>
                </c:pt>
                <c:pt idx="2">
                  <c:v>407.63200000000001</c:v>
                </c:pt>
                <c:pt idx="3">
                  <c:v>411.16800000000001</c:v>
                </c:pt>
                <c:pt idx="4">
                  <c:v>414.69900000000001</c:v>
                </c:pt>
                <c:pt idx="5">
                  <c:v>418.30500000000001</c:v>
                </c:pt>
                <c:pt idx="6">
                  <c:v>421.92899999999997</c:v>
                </c:pt>
              </c:numCache>
            </c:numRef>
          </c:xVal>
          <c:yVal>
            <c:numRef>
              <c:f>Sheet1!$J$2:$J$8</c:f>
              <c:numCache>
                <c:formatCode>General</c:formatCode>
                <c:ptCount val="7"/>
                <c:pt idx="0">
                  <c:v>0.371</c:v>
                </c:pt>
                <c:pt idx="1">
                  <c:v>0.74199999999999999</c:v>
                </c:pt>
                <c:pt idx="2">
                  <c:v>1.113</c:v>
                </c:pt>
                <c:pt idx="3">
                  <c:v>1.484</c:v>
                </c:pt>
                <c:pt idx="4">
                  <c:v>1.855</c:v>
                </c:pt>
                <c:pt idx="5">
                  <c:v>2.226</c:v>
                </c:pt>
                <c:pt idx="6">
                  <c:v>2.597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40-4C62-9AC6-C2203A417C2C}"/>
            </c:ext>
          </c:extLst>
        </c:ser>
        <c:ser>
          <c:idx val="4"/>
          <c:order val="4"/>
          <c:tx>
            <c:strRef>
              <c:f>Sheet1!$O$1</c:f>
              <c:strCache>
                <c:ptCount val="1"/>
                <c:pt idx="0">
                  <c:v>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Sheet1!$O$2:$O$8</c:f>
              <c:numCache>
                <c:formatCode>General</c:formatCode>
                <c:ptCount val="7"/>
                <c:pt idx="0">
                  <c:v>501.70600000000002</c:v>
                </c:pt>
                <c:pt idx="1">
                  <c:v>504.92500000000001</c:v>
                </c:pt>
                <c:pt idx="2">
                  <c:v>508.577</c:v>
                </c:pt>
                <c:pt idx="3">
                  <c:v>512.25</c:v>
                </c:pt>
                <c:pt idx="4">
                  <c:v>515.92200000000003</c:v>
                </c:pt>
                <c:pt idx="5">
                  <c:v>519.59500000000003</c:v>
                </c:pt>
                <c:pt idx="6">
                  <c:v>523.26800000000003</c:v>
                </c:pt>
              </c:numCache>
            </c:numRef>
          </c:xVal>
          <c:yVal>
            <c:numRef>
              <c:f>Sheet1!$J$2:$J$8</c:f>
              <c:numCache>
                <c:formatCode>General</c:formatCode>
                <c:ptCount val="7"/>
                <c:pt idx="0">
                  <c:v>0.371</c:v>
                </c:pt>
                <c:pt idx="1">
                  <c:v>0.74199999999999999</c:v>
                </c:pt>
                <c:pt idx="2">
                  <c:v>1.113</c:v>
                </c:pt>
                <c:pt idx="3">
                  <c:v>1.484</c:v>
                </c:pt>
                <c:pt idx="4">
                  <c:v>1.855</c:v>
                </c:pt>
                <c:pt idx="5">
                  <c:v>2.226</c:v>
                </c:pt>
                <c:pt idx="6">
                  <c:v>2.597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40-4C62-9AC6-C2203A417C2C}"/>
            </c:ext>
          </c:extLst>
        </c:ser>
        <c:ser>
          <c:idx val="5"/>
          <c:order val="5"/>
          <c:tx>
            <c:strRef>
              <c:f>Sheet1!$P$1</c:f>
              <c:strCache>
                <c:ptCount val="1"/>
                <c:pt idx="0">
                  <c:v>26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Sheet1!$P$2:$P$8</c:f>
              <c:numCache>
                <c:formatCode>General</c:formatCode>
                <c:ptCount val="7"/>
                <c:pt idx="0">
                  <c:v>601.85400000000004</c:v>
                </c:pt>
                <c:pt idx="1">
                  <c:v>605.07100000000003</c:v>
                </c:pt>
                <c:pt idx="2">
                  <c:v>608.72500000000002</c:v>
                </c:pt>
                <c:pt idx="3">
                  <c:v>612.39800000000002</c:v>
                </c:pt>
                <c:pt idx="4">
                  <c:v>616.07100000000003</c:v>
                </c:pt>
                <c:pt idx="5">
                  <c:v>619.74400000000003</c:v>
                </c:pt>
                <c:pt idx="6">
                  <c:v>623.41700000000003</c:v>
                </c:pt>
              </c:numCache>
            </c:numRef>
          </c:xVal>
          <c:yVal>
            <c:numRef>
              <c:f>Sheet1!$J$2:$J$8</c:f>
              <c:numCache>
                <c:formatCode>General</c:formatCode>
                <c:ptCount val="7"/>
                <c:pt idx="0">
                  <c:v>0.371</c:v>
                </c:pt>
                <c:pt idx="1">
                  <c:v>0.74199999999999999</c:v>
                </c:pt>
                <c:pt idx="2">
                  <c:v>1.113</c:v>
                </c:pt>
                <c:pt idx="3">
                  <c:v>1.484</c:v>
                </c:pt>
                <c:pt idx="4">
                  <c:v>1.855</c:v>
                </c:pt>
                <c:pt idx="5">
                  <c:v>2.226</c:v>
                </c:pt>
                <c:pt idx="6">
                  <c:v>2.597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A40-4C62-9AC6-C2203A417C2C}"/>
            </c:ext>
          </c:extLst>
        </c:ser>
        <c:ser>
          <c:idx val="6"/>
          <c:order val="6"/>
          <c:tx>
            <c:strRef>
              <c:f>Sheet1!$Q$1</c:f>
              <c:strCache>
                <c:ptCount val="1"/>
                <c:pt idx="0">
                  <c:v>31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Sheet1!$Q$2:$Q$8</c:f>
              <c:numCache>
                <c:formatCode>General</c:formatCode>
                <c:ptCount val="7"/>
                <c:pt idx="0">
                  <c:v>701.65899999999999</c:v>
                </c:pt>
                <c:pt idx="1">
                  <c:v>704.81500000000005</c:v>
                </c:pt>
                <c:pt idx="2">
                  <c:v>708.45500000000004</c:v>
                </c:pt>
                <c:pt idx="3">
                  <c:v>712.12099999999998</c:v>
                </c:pt>
                <c:pt idx="4">
                  <c:v>715.80200000000002</c:v>
                </c:pt>
                <c:pt idx="5">
                  <c:v>719.47500000000002</c:v>
                </c:pt>
                <c:pt idx="6">
                  <c:v>723.14700000000005</c:v>
                </c:pt>
              </c:numCache>
            </c:numRef>
          </c:xVal>
          <c:yVal>
            <c:numRef>
              <c:f>Sheet1!$J$2:$J$8</c:f>
              <c:numCache>
                <c:formatCode>General</c:formatCode>
                <c:ptCount val="7"/>
                <c:pt idx="0">
                  <c:v>0.371</c:v>
                </c:pt>
                <c:pt idx="1">
                  <c:v>0.74199999999999999</c:v>
                </c:pt>
                <c:pt idx="2">
                  <c:v>1.113</c:v>
                </c:pt>
                <c:pt idx="3">
                  <c:v>1.484</c:v>
                </c:pt>
                <c:pt idx="4">
                  <c:v>1.855</c:v>
                </c:pt>
                <c:pt idx="5">
                  <c:v>2.226</c:v>
                </c:pt>
                <c:pt idx="6">
                  <c:v>2.597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A40-4C62-9AC6-C2203A417C2C}"/>
            </c:ext>
          </c:extLst>
        </c:ser>
        <c:ser>
          <c:idx val="7"/>
          <c:order val="7"/>
          <c:tx>
            <c:strRef>
              <c:f>Sheet1!$R$1</c:f>
              <c:strCache>
                <c:ptCount val="1"/>
                <c:pt idx="0">
                  <c:v>36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Sheet1!$R$2:$R$8</c:f>
              <c:numCache>
                <c:formatCode>General</c:formatCode>
                <c:ptCount val="7"/>
                <c:pt idx="0">
                  <c:v>801.18100000000004</c:v>
                </c:pt>
                <c:pt idx="1">
                  <c:v>803.85799999999995</c:v>
                </c:pt>
                <c:pt idx="2">
                  <c:v>807.23900000000003</c:v>
                </c:pt>
                <c:pt idx="3">
                  <c:v>810.75199999999995</c:v>
                </c:pt>
                <c:pt idx="4">
                  <c:v>814.41</c:v>
                </c:pt>
                <c:pt idx="5">
                  <c:v>818.06399999999996</c:v>
                </c:pt>
                <c:pt idx="6">
                  <c:v>821.72900000000004</c:v>
                </c:pt>
              </c:numCache>
            </c:numRef>
          </c:xVal>
          <c:yVal>
            <c:numRef>
              <c:f>Sheet1!$J$2:$J$8</c:f>
              <c:numCache>
                <c:formatCode>General</c:formatCode>
                <c:ptCount val="7"/>
                <c:pt idx="0">
                  <c:v>0.371</c:v>
                </c:pt>
                <c:pt idx="1">
                  <c:v>0.74199999999999999</c:v>
                </c:pt>
                <c:pt idx="2">
                  <c:v>1.113</c:v>
                </c:pt>
                <c:pt idx="3">
                  <c:v>1.484</c:v>
                </c:pt>
                <c:pt idx="4">
                  <c:v>1.855</c:v>
                </c:pt>
                <c:pt idx="5">
                  <c:v>2.226</c:v>
                </c:pt>
                <c:pt idx="6">
                  <c:v>2.597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DA40-4C62-9AC6-C2203A417C2C}"/>
            </c:ext>
          </c:extLst>
        </c:ser>
        <c:ser>
          <c:idx val="8"/>
          <c:order val="8"/>
          <c:tx>
            <c:strRef>
              <c:f>Sheet1!$S$1</c:f>
              <c:strCache>
                <c:ptCount val="1"/>
                <c:pt idx="0">
                  <c:v>41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Sheet1!$S$2:$S$8</c:f>
              <c:numCache>
                <c:formatCode>General</c:formatCode>
                <c:ptCount val="7"/>
                <c:pt idx="0">
                  <c:v>900.50199999999995</c:v>
                </c:pt>
                <c:pt idx="1">
                  <c:v>902.31500000000005</c:v>
                </c:pt>
                <c:pt idx="2">
                  <c:v>904.726</c:v>
                </c:pt>
                <c:pt idx="3">
                  <c:v>907.51</c:v>
                </c:pt>
                <c:pt idx="4">
                  <c:v>910.74599999999998</c:v>
                </c:pt>
                <c:pt idx="5">
                  <c:v>914.16899999999998</c:v>
                </c:pt>
                <c:pt idx="6">
                  <c:v>917.72900000000004</c:v>
                </c:pt>
              </c:numCache>
            </c:numRef>
          </c:xVal>
          <c:yVal>
            <c:numRef>
              <c:f>Sheet1!$J$2:$J$8</c:f>
              <c:numCache>
                <c:formatCode>General</c:formatCode>
                <c:ptCount val="7"/>
                <c:pt idx="0">
                  <c:v>0.371</c:v>
                </c:pt>
                <c:pt idx="1">
                  <c:v>0.74199999999999999</c:v>
                </c:pt>
                <c:pt idx="2">
                  <c:v>1.113</c:v>
                </c:pt>
                <c:pt idx="3">
                  <c:v>1.484</c:v>
                </c:pt>
                <c:pt idx="4">
                  <c:v>1.855</c:v>
                </c:pt>
                <c:pt idx="5">
                  <c:v>2.226</c:v>
                </c:pt>
                <c:pt idx="6">
                  <c:v>2.597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DA40-4C62-9AC6-C2203A417C2C}"/>
            </c:ext>
          </c:extLst>
        </c:ser>
        <c:ser>
          <c:idx val="9"/>
          <c:order val="9"/>
          <c:tx>
            <c:strRef>
              <c:f>Sheet1!$T$1</c:f>
              <c:strCache>
                <c:ptCount val="1"/>
                <c:pt idx="0">
                  <c:v>46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Sheet1!$S$2:$S$8</c:f>
              <c:numCache>
                <c:formatCode>General</c:formatCode>
                <c:ptCount val="7"/>
                <c:pt idx="0">
                  <c:v>900.50199999999995</c:v>
                </c:pt>
                <c:pt idx="1">
                  <c:v>902.31500000000005</c:v>
                </c:pt>
                <c:pt idx="2">
                  <c:v>904.726</c:v>
                </c:pt>
                <c:pt idx="3">
                  <c:v>907.51</c:v>
                </c:pt>
                <c:pt idx="4">
                  <c:v>910.74599999999998</c:v>
                </c:pt>
                <c:pt idx="5">
                  <c:v>914.16899999999998</c:v>
                </c:pt>
                <c:pt idx="6">
                  <c:v>917.72900000000004</c:v>
                </c:pt>
              </c:numCache>
            </c:numRef>
          </c:xVal>
          <c:yVal>
            <c:numRef>
              <c:f>Sheet1!$J$2:$J$8</c:f>
              <c:numCache>
                <c:formatCode>General</c:formatCode>
                <c:ptCount val="7"/>
                <c:pt idx="0">
                  <c:v>0.371</c:v>
                </c:pt>
                <c:pt idx="1">
                  <c:v>0.74199999999999999</c:v>
                </c:pt>
                <c:pt idx="2">
                  <c:v>1.113</c:v>
                </c:pt>
                <c:pt idx="3">
                  <c:v>1.484</c:v>
                </c:pt>
                <c:pt idx="4">
                  <c:v>1.855</c:v>
                </c:pt>
                <c:pt idx="5">
                  <c:v>2.226</c:v>
                </c:pt>
                <c:pt idx="6">
                  <c:v>2.597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DA40-4C62-9AC6-C2203A417C2C}"/>
            </c:ext>
          </c:extLst>
        </c:ser>
        <c:ser>
          <c:idx val="10"/>
          <c:order val="10"/>
          <c:tx>
            <c:strRef>
              <c:f>Sheet1!$U$1</c:f>
              <c:strCache>
                <c:ptCount val="1"/>
                <c:pt idx="0">
                  <c:v>51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Sheet1!$U$2:$U$8</c:f>
              <c:numCache>
                <c:formatCode>General</c:formatCode>
                <c:ptCount val="7"/>
                <c:pt idx="0">
                  <c:v>1100</c:v>
                </c:pt>
                <c:pt idx="1">
                  <c:v>1100</c:v>
                </c:pt>
                <c:pt idx="2">
                  <c:v>1100</c:v>
                </c:pt>
                <c:pt idx="3">
                  <c:v>1100</c:v>
                </c:pt>
                <c:pt idx="4">
                  <c:v>1100.174</c:v>
                </c:pt>
                <c:pt idx="5">
                  <c:v>1100.6669999999999</c:v>
                </c:pt>
                <c:pt idx="6">
                  <c:v>1101.57</c:v>
                </c:pt>
              </c:numCache>
            </c:numRef>
          </c:xVal>
          <c:yVal>
            <c:numRef>
              <c:f>Sheet1!$J$2:$J$8</c:f>
              <c:numCache>
                <c:formatCode>General</c:formatCode>
                <c:ptCount val="7"/>
                <c:pt idx="0">
                  <c:v>0.371</c:v>
                </c:pt>
                <c:pt idx="1">
                  <c:v>0.74199999999999999</c:v>
                </c:pt>
                <c:pt idx="2">
                  <c:v>1.113</c:v>
                </c:pt>
                <c:pt idx="3">
                  <c:v>1.484</c:v>
                </c:pt>
                <c:pt idx="4">
                  <c:v>1.855</c:v>
                </c:pt>
                <c:pt idx="5">
                  <c:v>2.226</c:v>
                </c:pt>
                <c:pt idx="6">
                  <c:v>2.597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DA40-4C62-9AC6-C2203A417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713584"/>
        <c:axId val="1014713168"/>
      </c:scatterChart>
      <c:valAx>
        <c:axId val="101471358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14713168"/>
        <c:crosses val="autoZero"/>
        <c:crossBetween val="midCat"/>
      </c:valAx>
      <c:valAx>
        <c:axId val="101471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71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19</xdr:row>
      <xdr:rowOff>160020</xdr:rowOff>
    </xdr:from>
    <xdr:to>
      <xdr:col>16</xdr:col>
      <xdr:colOff>274320</xdr:colOff>
      <xdr:row>34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39C333-70C8-DB8B-5FFC-B8EF315FC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225EF-80D7-41E7-8CC8-AAFCEC8E4880}">
  <dimension ref="A1:U11"/>
  <sheetViews>
    <sheetView tabSelected="1" topLeftCell="A16" workbookViewId="0">
      <selection activeCell="M39" sqref="M39"/>
    </sheetView>
  </sheetViews>
  <sheetFormatPr defaultRowHeight="14.4" x14ac:dyDescent="0.3"/>
  <sheetData>
    <row r="1" spans="1:21" x14ac:dyDescent="0.3">
      <c r="A1">
        <v>1</v>
      </c>
      <c r="B1">
        <v>0</v>
      </c>
      <c r="C1">
        <v>0</v>
      </c>
      <c r="D1">
        <v>0</v>
      </c>
      <c r="E1">
        <v>0</v>
      </c>
      <c r="F1">
        <v>0</v>
      </c>
      <c r="G1">
        <v>3.4000000000000002E-2</v>
      </c>
      <c r="H1">
        <v>0</v>
      </c>
      <c r="K1">
        <v>1</v>
      </c>
      <c r="L1">
        <v>6</v>
      </c>
      <c r="M1">
        <v>11</v>
      </c>
      <c r="N1">
        <v>16</v>
      </c>
      <c r="O1">
        <v>21</v>
      </c>
      <c r="P1">
        <v>26</v>
      </c>
      <c r="Q1">
        <v>31</v>
      </c>
      <c r="R1">
        <v>36</v>
      </c>
      <c r="S1">
        <v>41</v>
      </c>
      <c r="T1">
        <v>46</v>
      </c>
      <c r="U1">
        <v>51</v>
      </c>
    </row>
    <row r="2" spans="1:21" x14ac:dyDescent="0.3">
      <c r="A2">
        <v>6</v>
      </c>
      <c r="B2">
        <v>0.11899999999999999</v>
      </c>
      <c r="C2">
        <v>1.056</v>
      </c>
      <c r="D2">
        <v>2.3769999999999998</v>
      </c>
      <c r="E2">
        <v>3.7120000000000002</v>
      </c>
      <c r="F2">
        <v>5.0170000000000003</v>
      </c>
      <c r="G2">
        <v>6.5720000000000001</v>
      </c>
      <c r="H2">
        <v>8.3420000000000005</v>
      </c>
      <c r="J2">
        <f>0.476-0.105</f>
        <v>0.371</v>
      </c>
      <c r="K2">
        <v>100</v>
      </c>
      <c r="L2">
        <v>200.119</v>
      </c>
      <c r="M2">
        <v>300.60500000000002</v>
      </c>
      <c r="N2">
        <v>401.32499999999999</v>
      </c>
      <c r="O2">
        <v>501.70600000000002</v>
      </c>
      <c r="P2">
        <v>601.85400000000004</v>
      </c>
      <c r="Q2">
        <v>701.65899999999999</v>
      </c>
      <c r="R2">
        <v>801.18100000000004</v>
      </c>
      <c r="S2">
        <v>900.50199999999995</v>
      </c>
      <c r="T2">
        <v>1000.131</v>
      </c>
      <c r="U2">
        <v>1100</v>
      </c>
    </row>
    <row r="3" spans="1:21" x14ac:dyDescent="0.3">
      <c r="A3">
        <v>11</v>
      </c>
      <c r="B3">
        <v>0.60499999999999998</v>
      </c>
      <c r="C3">
        <v>2.4460000000000002</v>
      </c>
      <c r="D3">
        <v>5.14</v>
      </c>
      <c r="E3">
        <v>7.93</v>
      </c>
      <c r="F3">
        <v>10.728</v>
      </c>
      <c r="G3">
        <v>13.744</v>
      </c>
      <c r="H3">
        <v>16.861999999999998</v>
      </c>
      <c r="J3">
        <f>0.847-0.105</f>
        <v>0.74199999999999999</v>
      </c>
      <c r="K3">
        <v>100</v>
      </c>
      <c r="L3">
        <v>201.05600000000001</v>
      </c>
      <c r="M3">
        <v>302.44600000000003</v>
      </c>
      <c r="N3">
        <v>404.16199999999998</v>
      </c>
      <c r="O3">
        <v>504.92500000000001</v>
      </c>
      <c r="P3">
        <v>605.07100000000003</v>
      </c>
      <c r="Q3">
        <v>704.81500000000005</v>
      </c>
      <c r="R3">
        <v>803.85799999999995</v>
      </c>
      <c r="S3">
        <v>902.31500000000005</v>
      </c>
      <c r="T3">
        <v>1000.845</v>
      </c>
      <c r="U3">
        <v>1100</v>
      </c>
    </row>
    <row r="4" spans="1:21" x14ac:dyDescent="0.3">
      <c r="A4">
        <v>16</v>
      </c>
      <c r="B4">
        <v>1.325</v>
      </c>
      <c r="C4">
        <v>4.1619999999999999</v>
      </c>
      <c r="D4">
        <v>7.6319999999999997</v>
      </c>
      <c r="E4">
        <v>11.167999999999999</v>
      </c>
      <c r="F4">
        <v>14.699</v>
      </c>
      <c r="G4">
        <v>18.305</v>
      </c>
      <c r="H4">
        <v>21.928999999999998</v>
      </c>
      <c r="J4">
        <f>1.218-0.105</f>
        <v>1.113</v>
      </c>
      <c r="K4">
        <v>100</v>
      </c>
      <c r="L4">
        <v>202.37700000000001</v>
      </c>
      <c r="M4">
        <v>305.14</v>
      </c>
      <c r="N4">
        <v>407.63200000000001</v>
      </c>
      <c r="O4">
        <v>508.577</v>
      </c>
      <c r="P4">
        <v>608.72500000000002</v>
      </c>
      <c r="Q4">
        <v>708.45500000000004</v>
      </c>
      <c r="R4">
        <v>807.23900000000003</v>
      </c>
      <c r="S4">
        <v>904.726</v>
      </c>
      <c r="T4">
        <v>1001.877</v>
      </c>
      <c r="U4">
        <v>1100</v>
      </c>
    </row>
    <row r="5" spans="1:21" x14ac:dyDescent="0.3">
      <c r="A5">
        <v>21</v>
      </c>
      <c r="B5">
        <v>1.706</v>
      </c>
      <c r="C5">
        <v>4.9249999999999998</v>
      </c>
      <c r="D5">
        <v>8.577</v>
      </c>
      <c r="E5">
        <v>12.25</v>
      </c>
      <c r="F5">
        <v>15.922000000000001</v>
      </c>
      <c r="G5">
        <v>19.594999999999999</v>
      </c>
      <c r="H5">
        <v>23.268000000000001</v>
      </c>
      <c r="J5">
        <f>1.589-0.105</f>
        <v>1.484</v>
      </c>
      <c r="K5">
        <v>100</v>
      </c>
      <c r="L5">
        <v>203.71199999999999</v>
      </c>
      <c r="M5">
        <v>307.93</v>
      </c>
      <c r="N5">
        <v>411.16800000000001</v>
      </c>
      <c r="O5">
        <v>512.25</v>
      </c>
      <c r="P5">
        <v>612.39800000000002</v>
      </c>
      <c r="Q5">
        <v>712.12099999999998</v>
      </c>
      <c r="R5">
        <v>810.75199999999995</v>
      </c>
      <c r="S5">
        <v>907.51</v>
      </c>
      <c r="T5">
        <v>1003.133</v>
      </c>
      <c r="U5">
        <v>1100</v>
      </c>
    </row>
    <row r="6" spans="1:21" x14ac:dyDescent="0.3">
      <c r="A6">
        <v>26</v>
      </c>
      <c r="B6">
        <v>1.8540000000000001</v>
      </c>
      <c r="C6">
        <v>5.0709999999999997</v>
      </c>
      <c r="D6">
        <v>8.7249999999999996</v>
      </c>
      <c r="E6">
        <v>12.398</v>
      </c>
      <c r="F6">
        <v>16.071000000000002</v>
      </c>
      <c r="G6">
        <v>19.744</v>
      </c>
      <c r="H6">
        <v>23.417000000000002</v>
      </c>
      <c r="J6">
        <f>1.96-0.105</f>
        <v>1.855</v>
      </c>
      <c r="K6">
        <v>100</v>
      </c>
      <c r="L6">
        <v>205.017</v>
      </c>
      <c r="M6">
        <v>310.72800000000001</v>
      </c>
      <c r="N6">
        <v>414.69900000000001</v>
      </c>
      <c r="O6">
        <v>515.92200000000003</v>
      </c>
      <c r="P6">
        <v>616.07100000000003</v>
      </c>
      <c r="Q6">
        <v>715.80200000000002</v>
      </c>
      <c r="R6">
        <v>814.41</v>
      </c>
      <c r="S6">
        <v>910.74599999999998</v>
      </c>
      <c r="T6">
        <v>1005.1130000000001</v>
      </c>
      <c r="U6">
        <v>1100.174</v>
      </c>
    </row>
    <row r="7" spans="1:21" x14ac:dyDescent="0.3">
      <c r="A7">
        <v>31</v>
      </c>
      <c r="B7">
        <v>1.659</v>
      </c>
      <c r="C7">
        <v>4.8150000000000004</v>
      </c>
      <c r="D7">
        <v>8.4550000000000001</v>
      </c>
      <c r="E7">
        <v>12.121</v>
      </c>
      <c r="F7">
        <v>15.802</v>
      </c>
      <c r="G7">
        <v>19.475000000000001</v>
      </c>
      <c r="H7">
        <v>23.146999999999998</v>
      </c>
      <c r="J7">
        <f>2.331-0.105</f>
        <v>2.226</v>
      </c>
      <c r="K7">
        <v>100.03400000000001</v>
      </c>
      <c r="L7">
        <v>206.572</v>
      </c>
      <c r="M7">
        <v>313.74400000000003</v>
      </c>
      <c r="N7">
        <v>418.30500000000001</v>
      </c>
      <c r="O7">
        <v>519.59500000000003</v>
      </c>
      <c r="P7">
        <v>619.74400000000003</v>
      </c>
      <c r="Q7">
        <v>719.47500000000002</v>
      </c>
      <c r="R7">
        <v>818.06399999999996</v>
      </c>
      <c r="S7">
        <v>914.16899999999998</v>
      </c>
      <c r="T7">
        <v>1007.71</v>
      </c>
      <c r="U7">
        <v>1100.6669999999999</v>
      </c>
    </row>
    <row r="8" spans="1:21" x14ac:dyDescent="0.3">
      <c r="A8">
        <v>36</v>
      </c>
      <c r="B8">
        <v>1.181</v>
      </c>
      <c r="C8">
        <v>3.8580000000000001</v>
      </c>
      <c r="D8">
        <v>7.2389999999999999</v>
      </c>
      <c r="E8">
        <v>10.752000000000001</v>
      </c>
      <c r="F8">
        <v>14.41</v>
      </c>
      <c r="G8">
        <v>18.064</v>
      </c>
      <c r="H8">
        <v>21.728999999999999</v>
      </c>
      <c r="J8">
        <f>2.702-0.105</f>
        <v>2.597</v>
      </c>
      <c r="K8">
        <v>100</v>
      </c>
      <c r="L8">
        <v>208.34200000000001</v>
      </c>
      <c r="M8">
        <v>316.86200000000002</v>
      </c>
      <c r="N8">
        <v>421.92899999999997</v>
      </c>
      <c r="O8">
        <v>523.26800000000003</v>
      </c>
      <c r="P8">
        <v>623.41700000000003</v>
      </c>
      <c r="Q8">
        <v>723.14700000000005</v>
      </c>
      <c r="R8">
        <v>821.72900000000004</v>
      </c>
      <c r="S8">
        <v>917.72900000000004</v>
      </c>
      <c r="T8">
        <v>1010.72</v>
      </c>
      <c r="U8">
        <v>1101.57</v>
      </c>
    </row>
    <row r="9" spans="1:21" x14ac:dyDescent="0.3">
      <c r="A9">
        <v>41</v>
      </c>
      <c r="B9">
        <v>0.502</v>
      </c>
      <c r="C9">
        <v>2.3149999999999999</v>
      </c>
      <c r="D9">
        <v>4.726</v>
      </c>
      <c r="E9">
        <v>7.51</v>
      </c>
      <c r="F9">
        <v>10.746</v>
      </c>
      <c r="G9">
        <v>14.169</v>
      </c>
      <c r="H9">
        <v>17.728999999999999</v>
      </c>
      <c r="K9">
        <v>100</v>
      </c>
      <c r="L9">
        <v>200</v>
      </c>
      <c r="M9">
        <v>300</v>
      </c>
      <c r="N9">
        <v>400</v>
      </c>
      <c r="O9">
        <v>500</v>
      </c>
      <c r="P9">
        <v>600</v>
      </c>
      <c r="Q9">
        <v>700</v>
      </c>
      <c r="R9">
        <v>800</v>
      </c>
      <c r="S9">
        <v>900</v>
      </c>
      <c r="T9">
        <v>1000</v>
      </c>
      <c r="U9">
        <v>1100</v>
      </c>
    </row>
    <row r="10" spans="1:21" x14ac:dyDescent="0.3">
      <c r="A10">
        <v>46</v>
      </c>
      <c r="B10">
        <v>0.13100000000000001</v>
      </c>
      <c r="C10">
        <v>0.84499999999999997</v>
      </c>
      <c r="D10">
        <v>1.877</v>
      </c>
      <c r="E10">
        <v>3.133</v>
      </c>
      <c r="F10">
        <v>5.1130000000000004</v>
      </c>
      <c r="G10">
        <v>7.71</v>
      </c>
      <c r="H10">
        <v>10.72</v>
      </c>
    </row>
    <row r="11" spans="1:21" x14ac:dyDescent="0.3">
      <c r="A11">
        <v>51</v>
      </c>
      <c r="B11">
        <v>0</v>
      </c>
      <c r="C11">
        <v>0</v>
      </c>
      <c r="D11">
        <v>0</v>
      </c>
      <c r="E11">
        <v>0</v>
      </c>
      <c r="F11">
        <v>0.17399999999999999</v>
      </c>
      <c r="G11">
        <v>0.66700000000000004</v>
      </c>
      <c r="H11">
        <v>1.57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Aldaghi</dc:creator>
  <cp:lastModifiedBy>Mohammad Aldaghi</cp:lastModifiedBy>
  <dcterms:created xsi:type="dcterms:W3CDTF">2026-02-19T10:26:07Z</dcterms:created>
  <dcterms:modified xsi:type="dcterms:W3CDTF">2026-02-19T17:33:57Z</dcterms:modified>
</cp:coreProperties>
</file>